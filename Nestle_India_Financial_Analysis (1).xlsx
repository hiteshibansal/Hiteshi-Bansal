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4"/>
  </bookViews>
  <sheets>
    <sheet name="Read Me" sheetId="1" r:id="rId1"/>
    <sheet name="P&amp;L" sheetId="2" r:id="rId2"/>
    <sheet name="Balance Sheet" sheetId="3" r:id="rId3"/>
    <sheet name="Cash Flow" sheetId="4" r:id="rId4"/>
    <sheet name="Ratios Given" sheetId="5" r:id="rId5"/>
    <sheet name="Ratios" sheetId="6" r:id="rId6"/>
    <sheet name="Dashboard" sheetId="7" r:id="rId7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6" l="1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</calcChain>
</file>

<file path=xl/comments1.xml><?xml version="1.0" encoding="utf-8"?>
<comments xmlns="http://schemas.openxmlformats.org/spreadsheetml/2006/main">
  <authors>
    <author>Unknown Author</author>
  </authors>
  <commentList>
    <comment ref="A4" authorId="0">
      <text>
        <r>
          <rPr>
            <sz val="10"/>
            <rFont val="Arial"/>
            <family val="2"/>
          </rPr>
          <t>Net Profit / Sales, both pulled from P&amp;L sheet.</t>
        </r>
      </text>
    </comment>
    <comment ref="A5" authorId="0">
      <text>
        <r>
          <rPr>
            <sz val="10"/>
            <rFont val="Arial"/>
            <family val="2"/>
          </rPr>
          <t>Recomputed as Operating Profit / Sales to cross-check reported OPM%.</t>
        </r>
      </text>
    </comment>
    <comment ref="A6" authorId="0">
      <text>
        <r>
          <rPr>
            <sz val="10"/>
            <rFont val="Arial"/>
            <family val="2"/>
          </rPr>
          <t>Net Profit / (Equity Capital + Reserves). Uses year-end equity, not average — will run slightly higher than Screener's ROE (which uses average equity).</t>
        </r>
      </text>
    </comment>
    <comment ref="A7" authorId="0">
      <text>
        <r>
          <rPr>
            <sz val="10"/>
            <rFont val="Arial"/>
            <family val="2"/>
          </rPr>
          <t>Linked directly from the 'Ratios Given' sheet (Screener-reported ROCE).</t>
        </r>
      </text>
    </comment>
    <comment ref="A8" authorId="0">
      <text>
        <r>
          <rPr>
            <sz val="10"/>
            <rFont val="Arial"/>
            <family val="2"/>
          </rPr>
          <t>Total Borrowings / (Equity Capital + Reserves).</t>
        </r>
      </text>
    </comment>
    <comment ref="A9" authorId="0">
      <text>
        <r>
          <rPr>
            <sz val="10"/>
            <rFont val="Arial"/>
            <family val="2"/>
          </rPr>
          <t>(Profit Before Tax + Interest) / Interest — how many times over the company can cover its interest expense.</t>
        </r>
      </text>
    </comment>
    <comment ref="A10" authorId="0">
      <text>
        <r>
          <rPr>
            <sz val="10"/>
            <rFont val="Arial"/>
            <family val="2"/>
          </rPr>
          <t>Sales / Total Assets — efficiency of asset use in generating revenue.</t>
        </r>
      </text>
    </comment>
    <comment ref="A11" authorId="0">
      <text>
        <r>
          <rPr>
            <sz val="10"/>
            <rFont val="Arial"/>
            <family val="2"/>
          </rPr>
          <t>(Current year EPS - Prior year EPS) / Prior year EPS. FY2024 growth is inflated because it spans 15 months vs prior year's 12.</t>
        </r>
      </text>
    </comment>
    <comment ref="A12" authorId="0">
      <text>
        <r>
          <rPr>
            <sz val="10"/>
            <rFont val="Arial"/>
            <family val="2"/>
          </rPr>
          <t>Free Cash Flow / Sales, linking Cash Flow sheet to P&amp;L sheet.</t>
        </r>
      </text>
    </comment>
    <comment ref="A13" authorId="0">
      <text>
        <r>
          <rPr>
            <sz val="10"/>
            <rFont val="Arial"/>
            <family val="2"/>
          </rPr>
          <t>Linked from 'Ratios Given' sheet. Negative value = Nestlé collects cash from customers before it needs to pay suppliers (working-capital-efficient / supplier-funded model).</t>
        </r>
      </text>
    </comment>
  </commentList>
</comments>
</file>

<file path=xl/sharedStrings.xml><?xml version="1.0" encoding="utf-8"?>
<sst xmlns="http://schemas.openxmlformats.org/spreadsheetml/2006/main" count="145" uniqueCount="91">
  <si>
    <t>Nestlé India Ltd — Financial Analysis Workbook (FY2015–FY2026)</t>
  </si>
  <si>
    <t>Prepared by: Hiteshi | Business Analytics Project</t>
  </si>
  <si>
    <t>Data source: Screener.in (standalone financials, sourced from Nestlé India's audited annual reports / BSE filings), retrieved July 2026.</t>
  </si>
  <si>
    <t>Figures are in ₹ Crores unless stated otherwise.</t>
  </si>
  <si>
    <t>IMPORTANT NOTE ON FY2024:</t>
  </si>
  <si>
    <t>Nestlé India changed its financial year-end from 31 December to 31 March in 2024 (aligning with the standard Indian statutory fiscal year).</t>
  </si>
  <si>
    <t>As a result, the FY2024 column below (labelled FY2024_15M) covers a transition period of 15 months (Jan 2023–Mar 2024), not a standard 12-month year.</t>
  </si>
  <si>
    <t>This makes FY2024 Sales, Profit, and cash flow figures NOT directly comparable to other years on a like-for-like basis — a key analytical</t>
  </si>
  <si>
    <t>caveat similar to the FY21 GSK Consumer Healthcare amalgamation anomaly seen in HUL's numbers. This is called out explicitly in the Ratios</t>
  </si>
  <si>
    <t>sheet and in the accompanying report.</t>
  </si>
  <si>
    <t>Sheet guide:</t>
  </si>
  <si>
    <t xml:space="preserve">  1. P&amp;L            — Standalone Profit &amp; Loss statement, FY2015–FY2026 (input data)</t>
  </si>
  <si>
    <t xml:space="preserve">  2. Balance Sheet   — Standalone Balance Sheet, FY2015–FY2026 (input data)</t>
  </si>
  <si>
    <t xml:space="preserve">  3. Cash Flow       — Standalone Cash Flow Statement, FY2015–FY2026 (input data)</t>
  </si>
  <si>
    <t xml:space="preserve">  4. Ratios          — Financial ratios computed via formulas that pull from the three sheets above</t>
  </si>
  <si>
    <t xml:space="preserve">  5. Dashboard       — 2x2 visual summary (Revenue &amp; Profit, Margins, Returns, Leverage &amp; Payout)</t>
  </si>
  <si>
    <t>Color legend: Blue text = hardcoded input (sourced data) | Black text = formula | Green text = cross-sheet link</t>
  </si>
  <si>
    <t>Nestlé India — P&amp;L (₹ Crores, Standalone)</t>
  </si>
  <si>
    <t>Line Item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</si>
  <si>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</si>
  <si>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</si>
  <si>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</si>
  <si>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</si>
  <si>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</si>
  <si>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</si>
  <si>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</si>
  <si>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</si>
  <si>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</si>
  <si>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 (15M)</t>
  </si>
  <si>
    <t>FY2025</t>
  </si>
  <si>
    <t>FY2026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</si>
  <si>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</si>
  <si>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</si>
  <si>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</si>
  <si>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</si>
  <si>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</si>
  <si>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</si>
  <si>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</si>
  <si>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PBT</t>
  </si>
  <si>
    <t>Tax %</t>
  </si>
  <si>
    <t>Net Profit</t>
  </si>
  <si>
    <t>EPS</t>
  </si>
  <si>
    <t>Dividend Payout %</t>
  </si>
  <si>
    <t>Source: Screener.in, standalone figures from Nestlé India audited financial statements. FY2024 column = 15-month transition period (Jan'23–Mar'24) due to year-end change.</t>
  </si>
  <si>
    <t>Nestlé India — Balance Sheet (₹ Crores, Standalone)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</si>
  <si>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</si>
  <si>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</si>
  <si>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</si>
  <si>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</si>
  <si>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</si>
  <si>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</si>
  <si>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</si>
  <si>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</si>
  <si>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</si>
  <si>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</si>
  <si>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Nestlé India — Cash Flow (₹ Crores, Standalone)</t>
  </si>
  <si>
    <t>CFO</t>
  </si>
  <si>
    <t>CFI</t>
  </si>
  <si>
    <t>CFF</t>
  </si>
  <si>
    <t>Net Cash Flow</t>
  </si>
  <si>
    <t>FCF</t>
  </si>
  <si>
    <t>CFO OP %</t>
  </si>
  <si>
    <t>Nestlé India — Ratios Given (₹ Crores, Standalone)</t>
  </si>
  <si>
    <t>Debtor Days</t>
  </si>
  <si>
    <t>Inventory Days</t>
  </si>
  <si>
    <t>Days Payable</t>
  </si>
  <si>
    <t>Cash Conversion Cycle</t>
  </si>
  <si>
    <t>Working Capital Days</t>
  </si>
  <si>
    <t>ROCE %</t>
  </si>
  <si>
    <t>Nestlé India — Computed Ratios (formulas link to P&amp;L / Balance Sheet / Ratios Given)</t>
  </si>
  <si>
    <t>Ratio</t>
  </si>
  <si>
    <t>Net Profit Margin %</t>
  </si>
  <si>
    <t>Operating Margin % (recomputed)</t>
  </si>
  <si>
    <t>Return on Equity % (computed)</t>
  </si>
  <si>
    <t>ROCE % (as reported)</t>
  </si>
  <si>
    <t>Debt-to-Equity (x)</t>
  </si>
  <si>
    <t>Interest Coverage Ratio (x)</t>
  </si>
  <si>
    <t>Asset Turnover Ratio (x)</t>
  </si>
  <si>
    <t>EPS Growth YoY %</t>
  </si>
  <si>
    <t>n/a</t>
  </si>
  <si>
    <t>Free Cash Flow Margin %</t>
  </si>
  <si>
    <t>Cash Conversion Cycle (days)</t>
  </si>
  <si>
    <t>Caution: FY2024 (15-month transition period) distorts YoY growth ratios — treat FY2024 comparisons with care; FY2025 vs FY2023 (both ~12-month periods) is a cleaner comparison.</t>
  </si>
  <si>
    <t>Nestlé India Ltd — Financial Performance Dashboard (FY2015–FY2026)</t>
  </si>
  <si>
    <t>Standalone figures, ₹ Crores. FY2024 = 15-month transition period (year-end change from Dec to Mar). Source: Screener.in</t>
  </si>
  <si>
    <t>Key observations:</t>
  </si>
  <si>
    <t>• Revenue grew from ₹8,175 Cr (FY15) to ₹23,155 Cr (FY26) — a ~11% CAGR, but FY24's 15-month period inflates the apparent jump.</t>
  </si>
  <si>
    <t>• Operating margin expanded from 19% (FY15) to a peak of ~26% in strong quarters, settling around 23-24% — steady, disciplined cost control.</t>
  </si>
  <si>
    <t>• ROCE peaked at 169% in FY24 (15-month, capex-light) then fell to 84% by FY26 as the company entered a capex supercycle (Fixed Assets nearly doubled FY24→FY26).</t>
  </si>
  <si>
    <t>• Borrowings spiked to ₹1,167 Cr in FY25 before being paid down to ₹444 Cr in FY26 — a short-term debt-funded capex bridge, later refinanced/repaid.</t>
  </si>
  <si>
    <t>• Nestlé runs a structurally negative Cash Conversion Cycle (-19 to -24 days in most years) — suppliers effectively fund working capital, a hallmark of strong bargaining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</si>
</sst>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\(#,##0\)"/>
    <numFmt numFmtId="165" formatCode="0.0\%"/>
    <numFmt numFmtId="166" formatCode="0.00\x"/>
    <numFmt numFmtId="167" formatCode="0.0\x"/>
  </numFmts>
  <fonts count="11" x14ac:knownFonts="1">
    <font>
      <sz val="11"/>
      <color theme="1"/>
      <name val="Calibri"/>
      <family val="2"/>
      <charset val="1"/>
    </font>
    <font>
      <b/>
      <sz val="14"/>
      <color rgb="FF2F5233"/>
      <name val="Arial"/>
      <charset val="1"/>
    </font>
    <font>
      <sz val="10"/>
      <color rgb="FF000000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6" fillId="0" borderId="1" xfId="0" applyNumberFormat="1" applyFont="1" applyBorder="1"/>
    <xf numFmtId="165" fontId="6" fillId="0" borderId="1" xfId="0" applyNumberFormat="1" applyFont="1" applyBorder="1"/>
    <xf numFmtId="2" fontId="6" fillId="0" borderId="1" xfId="0" applyNumberFormat="1" applyFont="1" applyBorder="1"/>
    <xf numFmtId="165" fontId="7" fillId="0" borderId="1" xfId="0" applyNumberFormat="1" applyFont="1" applyBorder="1"/>
    <xf numFmtId="166" fontId="7" fillId="0" borderId="1" xfId="0" applyNumberFormat="1" applyFont="1" applyBorder="1"/>
    <xf numFmtId="167" fontId="7" fillId="0" borderId="1" xfId="0" applyNumberFormat="1" applyFont="1" applyBorder="1"/>
    <xf numFmtId="0" fontId="2" fillId="0" borderId="1" xfId="0" applyFont="1" applyBorder="1"/>
    <xf numFmtId="1" fontId="7" fillId="0" borderId="1" xfId="0" applyNumberFormat="1" applyFont="1" applyBorder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8EA5CA"/>
      <rgbColor rgb="FFAA433F"/>
      <rgbColor rgb="FFF9F9F9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666666"/>
      <rgbColor rgb="FF87A44B"/>
      <rgbColor rgb="FF003366"/>
      <rgbColor rgb="FF4F81BD"/>
      <rgbColor rgb="FF003300"/>
      <rgbColor rgb="FF333300"/>
      <rgbColor rgb="FF993300"/>
      <rgbColor rgb="FFC0504D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Net Profit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'P&amp;L'!$B$4:$M$4</c:f>
              <c:numCache>
                <c:formatCode>#,##0;\(#,##0\)</c:formatCode>
                <c:ptCount val="12"/>
                <c:pt idx="0">
                  <c:v>8175</c:v>
                </c:pt>
                <c:pt idx="1">
                  <c:v>9141</c:v>
                </c:pt>
                <c:pt idx="2">
                  <c:v>10010</c:v>
                </c:pt>
                <c:pt idx="3">
                  <c:v>11292</c:v>
                </c:pt>
                <c:pt idx="4">
                  <c:v>12369</c:v>
                </c:pt>
                <c:pt idx="5">
                  <c:v>13350</c:v>
                </c:pt>
                <c:pt idx="6">
                  <c:v>14741</c:v>
                </c:pt>
                <c:pt idx="7">
                  <c:v>16897</c:v>
                </c:pt>
                <c:pt idx="8">
                  <c:v>19126</c:v>
                </c:pt>
                <c:pt idx="9">
                  <c:v>24394</c:v>
                </c:pt>
                <c:pt idx="10">
                  <c:v>20202</c:v>
                </c:pt>
                <c:pt idx="11">
                  <c:v>23155</c:v>
                </c:pt>
              </c:numCache>
            </c:numRef>
          </c:val>
        </c:ser>
        <c:ser>
          <c:idx val="1"/>
          <c:order val="1"/>
          <c:tx>
            <c:v>Net Profit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'P&amp;L'!$B$13:$M$13</c:f>
              <c:numCache>
                <c:formatCode>#,##0;\(#,##0\)</c:formatCode>
                <c:ptCount val="12"/>
                <c:pt idx="0">
                  <c:v>563</c:v>
                </c:pt>
                <c:pt idx="1">
                  <c:v>1001</c:v>
                </c:pt>
                <c:pt idx="2">
                  <c:v>1225</c:v>
                </c:pt>
                <c:pt idx="3">
                  <c:v>1607</c:v>
                </c:pt>
                <c:pt idx="4">
                  <c:v>1968</c:v>
                </c:pt>
                <c:pt idx="5">
                  <c:v>2082</c:v>
                </c:pt>
                <c:pt idx="6">
                  <c:v>2118</c:v>
                </c:pt>
                <c:pt idx="7">
                  <c:v>2391</c:v>
                </c:pt>
                <c:pt idx="8">
                  <c:v>2999</c:v>
                </c:pt>
                <c:pt idx="9">
                  <c:v>3933</c:v>
                </c:pt>
                <c:pt idx="10">
                  <c:v>3314</c:v>
                </c:pt>
                <c:pt idx="11">
                  <c:v>3545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50368"/>
        <c:axId val="206586624"/>
      </c:barChart>
      <c:catAx>
        <c:axId val="19385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86624"/>
        <c:crosses val="autoZero"/>
        <c:auto val="1"/>
        <c:lblAlgn val="ctr"/>
        <c:lblOffset val="100"/>
        <c:noMultiLvlLbl val="0"/>
      </c:catAx>
      <c:valAx>
        <c:axId val="206586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850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 Trend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Margin %</c:v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'P&amp;L'!$B$7:$M$7</c:f>
              <c:numCache>
                <c:formatCode>0.0\%</c:formatCode>
                <c:ptCount val="1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</c:numCache>
            </c:numRef>
          </c:val>
          <c:smooth val="0"/>
        </c:ser>
        <c:ser>
          <c:idx val="1"/>
          <c:order val="1"/>
          <c:tx>
            <c:v>Net Profit Margin %</c:v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Ratios!$B$4:$M$4</c:f>
              <c:numCache>
                <c:formatCode>0.0\%</c:formatCode>
                <c:ptCount val="12"/>
                <c:pt idx="0">
                  <c:v>6.8868501529051978</c:v>
                </c:pt>
                <c:pt idx="1">
                  <c:v>10.950661853188929</c:v>
                </c:pt>
                <c:pt idx="2">
                  <c:v>12.237762237762238</c:v>
                </c:pt>
                <c:pt idx="3">
                  <c:v>14.231314204746722</c:v>
                </c:pt>
                <c:pt idx="4">
                  <c:v>15.910744603444094</c:v>
                </c:pt>
                <c:pt idx="5">
                  <c:v>15.595505617977528</c:v>
                </c:pt>
                <c:pt idx="6">
                  <c:v>14.368089003459739</c:v>
                </c:pt>
                <c:pt idx="7">
                  <c:v>14.150440906669823</c:v>
                </c:pt>
                <c:pt idx="8">
                  <c:v>15.680225870542715</c:v>
                </c:pt>
                <c:pt idx="9">
                  <c:v>16.12281708616873</c:v>
                </c:pt>
                <c:pt idx="10">
                  <c:v>16.404316404316404</c:v>
                </c:pt>
                <c:pt idx="11">
                  <c:v>15.30986827898942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6616448"/>
        <c:axId val="206617984"/>
      </c:lineChart>
      <c:catAx>
        <c:axId val="20661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617984"/>
        <c:crosses val="autoZero"/>
        <c:auto val="1"/>
        <c:lblAlgn val="ctr"/>
        <c:lblOffset val="100"/>
        <c:noMultiLvlLbl val="0"/>
      </c:catAx>
      <c:valAx>
        <c:axId val="206617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616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Returns: ROE vs ROCE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ROE % (computed)</c:v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Ratios!$B$6:$M$6</c:f>
              <c:numCache>
                <c:formatCode>0.0\%</c:formatCode>
                <c:ptCount val="12"/>
                <c:pt idx="0">
                  <c:v>19.985800496982606</c:v>
                </c:pt>
                <c:pt idx="1">
                  <c:v>30.499695307739184</c:v>
                </c:pt>
                <c:pt idx="2">
                  <c:v>35.8187134502924</c:v>
                </c:pt>
                <c:pt idx="3">
                  <c:v>43.75170160631636</c:v>
                </c:pt>
                <c:pt idx="4">
                  <c:v>102.60688216892598</c:v>
                </c:pt>
                <c:pt idx="5">
                  <c:v>103.12035661218424</c:v>
                </c:pt>
                <c:pt idx="6">
                  <c:v>108.83864337101747</c:v>
                </c:pt>
                <c:pt idx="7">
                  <c:v>97.234648230988213</c:v>
                </c:pt>
                <c:pt idx="8">
                  <c:v>121.96014640097602</c:v>
                </c:pt>
                <c:pt idx="9">
                  <c:v>117.75449101796407</c:v>
                </c:pt>
                <c:pt idx="10">
                  <c:v>80.495506436725776</c:v>
                </c:pt>
                <c:pt idx="11">
                  <c:v>66.773403654172157</c:v>
                </c:pt>
              </c:numCache>
            </c:numRef>
          </c:val>
          <c:smooth val="0"/>
        </c:ser>
        <c:ser>
          <c:idx val="1"/>
          <c:order val="1"/>
          <c:tx>
            <c:v>ROCE % (as reported)</c:v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Ratios!$B$7:$M$7</c:f>
              <c:numCache>
                <c:formatCode>0.0\%</c:formatCode>
                <c:ptCount val="12"/>
                <c:pt idx="0">
                  <c:v>46</c:v>
                </c:pt>
                <c:pt idx="1">
                  <c:v>54</c:v>
                </c:pt>
                <c:pt idx="2">
                  <c:v>57</c:v>
                </c:pt>
                <c:pt idx="3">
                  <c:v>71</c:v>
                </c:pt>
                <c:pt idx="4">
                  <c:v>96</c:v>
                </c:pt>
                <c:pt idx="5">
                  <c:v>139</c:v>
                </c:pt>
                <c:pt idx="6">
                  <c:v>150</c:v>
                </c:pt>
                <c:pt idx="7">
                  <c:v>138</c:v>
                </c:pt>
                <c:pt idx="8">
                  <c:v>153</c:v>
                </c:pt>
                <c:pt idx="9">
                  <c:v>169</c:v>
                </c:pt>
                <c:pt idx="10">
                  <c:v>96</c:v>
                </c:pt>
                <c:pt idx="11">
                  <c:v>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0884096"/>
        <c:axId val="210885632"/>
      </c:lineChart>
      <c:catAx>
        <c:axId val="2108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885632"/>
        <c:crosses val="autoZero"/>
        <c:auto val="1"/>
        <c:lblAlgn val="ctr"/>
        <c:lblOffset val="100"/>
        <c:noMultiLvlLbl val="0"/>
      </c:catAx>
      <c:valAx>
        <c:axId val="210885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884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Borrowings (₹ Cr) &amp; Dividend Payout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Borrowings</c:v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'Balance Sheet'!$B$6:$M$6</c:f>
              <c:numCache>
                <c:formatCode>#,##0;\(#,##0\)</c:formatCode>
                <c:ptCount val="12"/>
                <c:pt idx="0">
                  <c:v>18</c:v>
                </c:pt>
                <c:pt idx="1">
                  <c:v>33</c:v>
                </c:pt>
                <c:pt idx="2">
                  <c:v>35</c:v>
                </c:pt>
                <c:pt idx="3">
                  <c:v>35</c:v>
                </c:pt>
                <c:pt idx="4">
                  <c:v>189</c:v>
                </c:pt>
                <c:pt idx="5">
                  <c:v>147</c:v>
                </c:pt>
                <c:pt idx="6">
                  <c:v>266</c:v>
                </c:pt>
                <c:pt idx="7">
                  <c:v>271</c:v>
                </c:pt>
                <c:pt idx="8">
                  <c:v>271</c:v>
                </c:pt>
                <c:pt idx="9">
                  <c:v>345</c:v>
                </c:pt>
                <c:pt idx="10">
                  <c:v>1167</c:v>
                </c:pt>
                <c:pt idx="11">
                  <c:v>444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544256"/>
        <c:axId val="206554240"/>
      </c:barChart>
      <c:lineChart>
        <c:grouping val="standard"/>
        <c:varyColors val="0"/>
        <c:ser>
          <c:idx val="1"/>
          <c:order val="1"/>
          <c:tx>
            <c:v>Dividend Payout %</c:v>
          </c:tx>
          <c:spPr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'P&amp;L'!$B$3:$M$3</c:f>
              <c:strCache>
                <c:ptCount val="12"/>
                <c:pt idx="0">
                  <c:v>FY2015</c:v>
                </c:pt>
                <c:pt idx="1">
                  <c:v>FY2016</c:v>
                </c:pt>
                <c:pt idx="2">
                  <c:v>FY2017</c:v>
                </c:pt>
                <c:pt idx="3">
                  <c:v>FY2018</c:v>
                </c:pt>
                <c:pt idx="4">
                  <c:v>FY2019</c:v>
                </c:pt>
                <c:pt idx="5">
                  <c:v>FY2020</c:v>
                </c:pt>
                <c:pt idx="6">
                  <c:v>FY2021</c:v>
                </c:pt>
                <c:pt idx="7">
                  <c:v>FY2022</c:v>
                </c:pt>
                <c:pt idx="8">
                  <c:v>FY2023</c:v>
                </c:pt>
                <c:pt idx="9">
                  <c:v>FY2024 (15M)</c:v>
                </c:pt>
                <c:pt idx="10">
                  <c:v>FY2025</c:v>
                </c:pt>
                <c:pt idx="11">
                  <c:v>FY2026</c:v>
                </c:pt>
              </c:strCache>
            </c:strRef>
          </c:cat>
          <c:val>
            <c:numRef>
              <c:f>'P&amp;L'!$B$15:$M$15</c:f>
              <c:numCache>
                <c:formatCode>0.0\%</c:formatCode>
                <c:ptCount val="12"/>
                <c:pt idx="0">
                  <c:v>83</c:v>
                </c:pt>
                <c:pt idx="1">
                  <c:v>61</c:v>
                </c:pt>
                <c:pt idx="2">
                  <c:v>68</c:v>
                </c:pt>
                <c:pt idx="3">
                  <c:v>69</c:v>
                </c:pt>
                <c:pt idx="4">
                  <c:v>168</c:v>
                </c:pt>
                <c:pt idx="5">
                  <c:v>93</c:v>
                </c:pt>
                <c:pt idx="6">
                  <c:v>91</c:v>
                </c:pt>
                <c:pt idx="7">
                  <c:v>89</c:v>
                </c:pt>
                <c:pt idx="8">
                  <c:v>56</c:v>
                </c:pt>
                <c:pt idx="9">
                  <c:v>79</c:v>
                </c:pt>
                <c:pt idx="10">
                  <c:v>79</c:v>
                </c:pt>
                <c:pt idx="11">
                  <c:v>65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6556160"/>
        <c:axId val="206557952"/>
      </c:lineChart>
      <c:catAx>
        <c:axId val="2065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54240"/>
        <c:crosses val="autoZero"/>
        <c:auto val="1"/>
        <c:lblAlgn val="ctr"/>
        <c:lblOffset val="100"/>
        <c:noMultiLvlLbl val="0"/>
      </c:catAx>
      <c:valAx>
        <c:axId val="206554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44256"/>
        <c:crosses val="autoZero"/>
        <c:crossBetween val="between"/>
      </c:valAx>
      <c:catAx>
        <c:axId val="2065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57952"/>
        <c:crosses val="autoZero"/>
        <c:auto val="1"/>
        <c:lblAlgn val="ctr"/>
        <c:lblOffset val="100"/>
        <c:noMultiLvlLbl val="0"/>
      </c:catAx>
      <c:valAx>
        <c:axId val="20655795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56160"/>
        <c:crosses val="max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160920</xdr:rowOff>
    </xdr:from>
    <xdr:to>
      <xdr:col>20</xdr:col>
      <xdr:colOff>541800</xdr:colOff>
      <xdr:row>18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254000</xdr:colOff>
      <xdr:row>3</xdr:row>
      <xdr:rowOff>103770</xdr:rowOff>
    </xdr:from>
    <xdr:to>
      <xdr:col>30</xdr:col>
      <xdr:colOff>515310</xdr:colOff>
      <xdr:row>18</xdr:row>
      <xdr:rowOff>132080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160920</xdr:rowOff>
    </xdr:from>
    <xdr:to>
      <xdr:col>20</xdr:col>
      <xdr:colOff>541800</xdr:colOff>
      <xdr:row>35</xdr:row>
      <xdr:rowOff>182880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206375</xdr:colOff>
      <xdr:row>21</xdr:row>
      <xdr:rowOff>2170</xdr:rowOff>
    </xdr:from>
    <xdr:to>
      <xdr:col>30</xdr:col>
      <xdr:colOff>445460</xdr:colOff>
      <xdr:row>36</xdr:row>
      <xdr:rowOff>24130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opLeftCell="A7" zoomScaleNormal="100" workbookViewId="0"/>
  </sheetViews>
  <sheetFormatPr defaultColWidth="8.6328125" defaultRowHeight="14.5" x14ac:dyDescent="0.35"/>
  <cols>
    <col min="1" max="1" width="100" customWidth="1"/>
  </cols>
  <sheetData>
    <row r="1" spans="1:1" ht="18" x14ac:dyDescent="0.4">
      <c r="A1" s="2" t="s">
        <v>0</v>
      </c>
    </row>
    <row r="2" spans="1:1" x14ac:dyDescent="0.35">
      <c r="A2" s="3"/>
    </row>
    <row r="3" spans="1:1" x14ac:dyDescent="0.35">
      <c r="A3" s="4" t="s">
        <v>1</v>
      </c>
    </row>
    <row r="4" spans="1:1" x14ac:dyDescent="0.35">
      <c r="A4" s="4" t="s">
        <v>2</v>
      </c>
    </row>
    <row r="5" spans="1:1" x14ac:dyDescent="0.35">
      <c r="A5" s="4" t="s">
        <v>3</v>
      </c>
    </row>
    <row r="6" spans="1:1" x14ac:dyDescent="0.35">
      <c r="A6" s="3"/>
    </row>
    <row r="7" spans="1:1" x14ac:dyDescent="0.35">
      <c r="A7" s="5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/>
    </row>
    <row r="14" spans="1:1" x14ac:dyDescent="0.35">
      <c r="A14" s="5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  <row r="17" spans="1:1" x14ac:dyDescent="0.35">
      <c r="A17" s="3" t="s">
        <v>13</v>
      </c>
    </row>
    <row r="18" spans="1:1" x14ac:dyDescent="0.35">
      <c r="A18" s="3" t="s">
        <v>14</v>
      </c>
    </row>
    <row r="19" spans="1:1" x14ac:dyDescent="0.35">
      <c r="A19" s="3" t="s">
        <v>15</v>
      </c>
    </row>
    <row r="20" spans="1:1" x14ac:dyDescent="0.35">
      <c r="A20" s="3"/>
    </row>
    <row r="21" spans="1:1" x14ac:dyDescent="0.35">
      <c r="A21" s="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40" zoomScaleNormal="4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1"/>
    </sheetView>
  </sheetViews>
  <sheetFormatPr defaultColWidth="8.6328125" defaultRowHeight="14.5" x14ac:dyDescent="0.35"/>
  <cols>
    <col min="1" max="1" width="26" customWidth="1"/>
    <col min="2" max="13" width="13" customWidth="1"/>
  </cols>
  <sheetData>
    <row r="1" spans="1:13" ht="18" x14ac:dyDescent="0.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 x14ac:dyDescent="0.35">
      <c r="A4" s="5" t="s">
        <v>31</v>
      </c>
      <c r="B4" s="8">
        <v>8175</v>
      </c>
      <c r="C4" s="8">
        <v>9141</v>
      </c>
      <c r="D4" s="8">
        <v>10010</v>
      </c>
      <c r="E4" s="8">
        <v>11292</v>
      </c>
      <c r="F4" s="8">
        <v>12369</v>
      </c>
      <c r="G4" s="8">
        <v>13350</v>
      </c>
      <c r="H4" s="8">
        <v>14741</v>
      </c>
      <c r="I4" s="8">
        <v>16897</v>
      </c>
      <c r="J4" s="8">
        <v>19126</v>
      </c>
      <c r="K4" s="8">
        <v>24394</v>
      </c>
      <c r="L4" s="8">
        <v>20202</v>
      </c>
      <c r="M4" s="8">
        <v>23155</v>
      </c>
    </row>
    <row r="5" spans="1:13" x14ac:dyDescent="0.35">
      <c r="A5" s="5" t="s">
        <v>32</v>
      </c>
      <c r="B5" s="8">
        <v>6620</v>
      </c>
      <c r="C5" s="8">
        <v>7292</v>
      </c>
      <c r="D5" s="8">
        <v>7913</v>
      </c>
      <c r="E5" s="8">
        <v>8675</v>
      </c>
      <c r="F5" s="8">
        <v>9443</v>
      </c>
      <c r="G5" s="8">
        <v>10149</v>
      </c>
      <c r="H5" s="8">
        <v>11178</v>
      </c>
      <c r="I5" s="8">
        <v>13191</v>
      </c>
      <c r="J5" s="8">
        <v>14655</v>
      </c>
      <c r="K5" s="8">
        <v>18551</v>
      </c>
      <c r="L5" s="8">
        <v>15430</v>
      </c>
      <c r="M5" s="8">
        <v>17848</v>
      </c>
    </row>
    <row r="6" spans="1:13" x14ac:dyDescent="0.35">
      <c r="A6" s="5" t="s">
        <v>33</v>
      </c>
      <c r="B6" s="8">
        <v>1555</v>
      </c>
      <c r="C6" s="8">
        <v>1850</v>
      </c>
      <c r="D6" s="8">
        <v>2097</v>
      </c>
      <c r="E6" s="8">
        <v>2618</v>
      </c>
      <c r="F6" s="8">
        <v>2926</v>
      </c>
      <c r="G6" s="8">
        <v>3202</v>
      </c>
      <c r="H6" s="8">
        <v>3562</v>
      </c>
      <c r="I6" s="8">
        <v>3706</v>
      </c>
      <c r="J6" s="8">
        <v>4471</v>
      </c>
      <c r="K6" s="8">
        <v>5843</v>
      </c>
      <c r="L6" s="8">
        <v>4771</v>
      </c>
      <c r="M6" s="8">
        <v>5307</v>
      </c>
    </row>
    <row r="7" spans="1:13" x14ac:dyDescent="0.35">
      <c r="A7" s="5" t="s">
        <v>34</v>
      </c>
      <c r="B7" s="9">
        <v>19</v>
      </c>
      <c r="C7" s="9">
        <v>20</v>
      </c>
      <c r="D7" s="9">
        <v>21</v>
      </c>
      <c r="E7" s="9">
        <v>23</v>
      </c>
      <c r="F7" s="9">
        <v>24</v>
      </c>
      <c r="G7" s="9">
        <v>24</v>
      </c>
      <c r="H7" s="9">
        <v>24</v>
      </c>
      <c r="I7" s="9">
        <v>22</v>
      </c>
      <c r="J7" s="9">
        <v>23</v>
      </c>
      <c r="K7" s="9">
        <v>24</v>
      </c>
      <c r="L7" s="9">
        <v>24</v>
      </c>
      <c r="M7" s="9">
        <v>23</v>
      </c>
    </row>
    <row r="8" spans="1:13" x14ac:dyDescent="0.35">
      <c r="A8" s="5" t="s">
        <v>35</v>
      </c>
      <c r="B8" s="8">
        <v>-391</v>
      </c>
      <c r="C8" s="8">
        <v>140</v>
      </c>
      <c r="D8" s="8">
        <v>177</v>
      </c>
      <c r="E8" s="8">
        <v>259</v>
      </c>
      <c r="F8" s="8">
        <v>247</v>
      </c>
      <c r="G8" s="8">
        <v>146</v>
      </c>
      <c r="H8" s="8">
        <v>-112</v>
      </c>
      <c r="I8" s="8">
        <v>107</v>
      </c>
      <c r="J8" s="8">
        <v>116</v>
      </c>
      <c r="K8" s="8">
        <v>159</v>
      </c>
      <c r="L8" s="8">
        <v>352</v>
      </c>
      <c r="M8" s="8">
        <v>160</v>
      </c>
    </row>
    <row r="9" spans="1:13" x14ac:dyDescent="0.35">
      <c r="A9" s="5" t="s">
        <v>36</v>
      </c>
      <c r="B9" s="8">
        <v>3</v>
      </c>
      <c r="C9" s="8">
        <v>91</v>
      </c>
      <c r="D9" s="8">
        <v>92</v>
      </c>
      <c r="E9" s="8">
        <v>112</v>
      </c>
      <c r="F9" s="8">
        <v>129</v>
      </c>
      <c r="G9" s="8">
        <v>164</v>
      </c>
      <c r="H9" s="8">
        <v>202</v>
      </c>
      <c r="I9" s="8">
        <v>155</v>
      </c>
      <c r="J9" s="8">
        <v>119</v>
      </c>
      <c r="K9" s="8">
        <v>145</v>
      </c>
      <c r="L9" s="8">
        <v>136</v>
      </c>
      <c r="M9" s="8">
        <v>158</v>
      </c>
    </row>
    <row r="10" spans="1:13" x14ac:dyDescent="0.35">
      <c r="A10" s="5" t="s">
        <v>37</v>
      </c>
      <c r="B10" s="8">
        <v>347</v>
      </c>
      <c r="C10" s="8">
        <v>354</v>
      </c>
      <c r="D10" s="8">
        <v>342</v>
      </c>
      <c r="E10" s="8">
        <v>336</v>
      </c>
      <c r="F10" s="8">
        <v>370</v>
      </c>
      <c r="G10" s="8">
        <v>370</v>
      </c>
      <c r="H10" s="8">
        <v>391</v>
      </c>
      <c r="I10" s="8">
        <v>403</v>
      </c>
      <c r="J10" s="8">
        <v>429</v>
      </c>
      <c r="K10" s="8">
        <v>568</v>
      </c>
      <c r="L10" s="8">
        <v>540</v>
      </c>
      <c r="M10" s="8">
        <v>699</v>
      </c>
    </row>
    <row r="11" spans="1:13" x14ac:dyDescent="0.35">
      <c r="A11" s="5" t="s">
        <v>38</v>
      </c>
      <c r="B11" s="8">
        <v>814</v>
      </c>
      <c r="C11" s="8">
        <v>1545</v>
      </c>
      <c r="D11" s="8">
        <v>1839</v>
      </c>
      <c r="E11" s="8">
        <v>2429</v>
      </c>
      <c r="F11" s="8">
        <v>2673</v>
      </c>
      <c r="G11" s="8">
        <v>2813</v>
      </c>
      <c r="H11" s="8">
        <v>2857</v>
      </c>
      <c r="I11" s="8">
        <v>3256</v>
      </c>
      <c r="J11" s="8">
        <v>4038</v>
      </c>
      <c r="K11" s="8">
        <v>5289</v>
      </c>
      <c r="L11" s="8">
        <v>4447</v>
      </c>
      <c r="M11" s="8">
        <v>4610</v>
      </c>
    </row>
    <row r="12" spans="1:13" x14ac:dyDescent="0.35">
      <c r="A12" s="5" t="s">
        <v>39</v>
      </c>
      <c r="B12" s="9">
        <v>31</v>
      </c>
      <c r="C12" s="9">
        <v>35</v>
      </c>
      <c r="D12" s="9">
        <v>33</v>
      </c>
      <c r="E12" s="9">
        <v>34</v>
      </c>
      <c r="F12" s="9">
        <v>26</v>
      </c>
      <c r="G12" s="9">
        <v>26</v>
      </c>
      <c r="H12" s="9">
        <v>26</v>
      </c>
      <c r="I12" s="9">
        <v>27</v>
      </c>
      <c r="J12" s="9">
        <v>26</v>
      </c>
      <c r="K12" s="9">
        <v>26</v>
      </c>
      <c r="L12" s="9">
        <v>25</v>
      </c>
      <c r="M12" s="9">
        <v>23</v>
      </c>
    </row>
    <row r="13" spans="1:13" x14ac:dyDescent="0.35">
      <c r="A13" s="5" t="s">
        <v>40</v>
      </c>
      <c r="B13" s="8">
        <v>563</v>
      </c>
      <c r="C13" s="8">
        <v>1001</v>
      </c>
      <c r="D13" s="8">
        <v>1225</v>
      </c>
      <c r="E13" s="8">
        <v>1607</v>
      </c>
      <c r="F13" s="8">
        <v>1968</v>
      </c>
      <c r="G13" s="8">
        <v>2082</v>
      </c>
      <c r="H13" s="8">
        <v>2118</v>
      </c>
      <c r="I13" s="8">
        <v>2391</v>
      </c>
      <c r="J13" s="8">
        <v>2999</v>
      </c>
      <c r="K13" s="8">
        <v>3933</v>
      </c>
      <c r="L13" s="8">
        <v>3314</v>
      </c>
      <c r="M13" s="8">
        <v>3545</v>
      </c>
    </row>
    <row r="14" spans="1:13" x14ac:dyDescent="0.35">
      <c r="A14" s="5" t="s">
        <v>41</v>
      </c>
      <c r="B14" s="10">
        <v>2.92</v>
      </c>
      <c r="C14" s="10">
        <v>5.19</v>
      </c>
      <c r="D14" s="10">
        <v>6.35</v>
      </c>
      <c r="E14" s="10">
        <v>8.33</v>
      </c>
      <c r="F14" s="10">
        <v>10.210000000000001</v>
      </c>
      <c r="G14" s="10">
        <v>10.8</v>
      </c>
      <c r="H14" s="10">
        <v>10.99</v>
      </c>
      <c r="I14" s="10">
        <v>12.4</v>
      </c>
      <c r="J14" s="10">
        <v>15.55</v>
      </c>
      <c r="K14" s="10">
        <v>20.399999999999999</v>
      </c>
      <c r="L14" s="10">
        <v>17.190000000000001</v>
      </c>
      <c r="M14" s="10">
        <v>18.38</v>
      </c>
    </row>
    <row r="15" spans="1:13" x14ac:dyDescent="0.35">
      <c r="A15" s="5" t="s">
        <v>42</v>
      </c>
      <c r="B15" s="9">
        <v>83</v>
      </c>
      <c r="C15" s="9">
        <v>61</v>
      </c>
      <c r="D15" s="9">
        <v>68</v>
      </c>
      <c r="E15" s="9">
        <v>69</v>
      </c>
      <c r="F15" s="9">
        <v>168</v>
      </c>
      <c r="G15" s="9">
        <v>93</v>
      </c>
      <c r="H15" s="9">
        <v>91</v>
      </c>
      <c r="I15" s="9">
        <v>89</v>
      </c>
      <c r="J15" s="9">
        <v>56</v>
      </c>
      <c r="K15" s="9">
        <v>79</v>
      </c>
      <c r="L15" s="9">
        <v>79</v>
      </c>
      <c r="M15" s="9">
        <v>65</v>
      </c>
    </row>
    <row r="17" spans="1:1" x14ac:dyDescent="0.35">
      <c r="A17" s="4" t="s">
        <v>43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1"/>
    </sheetView>
  </sheetViews>
  <sheetFormatPr defaultColWidth="8.6328125" defaultRowHeight="14.5" x14ac:dyDescent="0.35"/>
  <cols>
    <col min="1" max="1" width="26" customWidth="1"/>
    <col min="2" max="13" width="13" customWidth="1"/>
  </cols>
  <sheetData>
    <row r="1" spans="1:13" ht="18" x14ac:dyDescent="0.4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 x14ac:dyDescent="0.35">
      <c r="A4" s="5" t="s">
        <v>45</v>
      </c>
      <c r="B4" s="8">
        <v>96</v>
      </c>
      <c r="C4" s="8">
        <v>96</v>
      </c>
      <c r="D4" s="8">
        <v>96</v>
      </c>
      <c r="E4" s="8">
        <v>96</v>
      </c>
      <c r="F4" s="8">
        <v>96</v>
      </c>
      <c r="G4" s="8">
        <v>96</v>
      </c>
      <c r="H4" s="8">
        <v>96</v>
      </c>
      <c r="I4" s="8">
        <v>96</v>
      </c>
      <c r="J4" s="8">
        <v>96</v>
      </c>
      <c r="K4" s="8">
        <v>96</v>
      </c>
      <c r="L4" s="8">
        <v>96</v>
      </c>
      <c r="M4" s="8">
        <v>193</v>
      </c>
    </row>
    <row r="5" spans="1:13" x14ac:dyDescent="0.35">
      <c r="A5" s="5" t="s">
        <v>46</v>
      </c>
      <c r="B5" s="8">
        <v>2721</v>
      </c>
      <c r="C5" s="8">
        <v>3186</v>
      </c>
      <c r="D5" s="8">
        <v>3324</v>
      </c>
      <c r="E5" s="8">
        <v>3577</v>
      </c>
      <c r="F5" s="8">
        <v>1822</v>
      </c>
      <c r="G5" s="8">
        <v>1923</v>
      </c>
      <c r="H5" s="8">
        <v>1850</v>
      </c>
      <c r="I5" s="8">
        <v>2363</v>
      </c>
      <c r="J5" s="8">
        <v>2363</v>
      </c>
      <c r="K5" s="8">
        <v>3244</v>
      </c>
      <c r="L5" s="8">
        <v>4021</v>
      </c>
      <c r="M5" s="8">
        <v>5116</v>
      </c>
    </row>
    <row r="6" spans="1:13" x14ac:dyDescent="0.35">
      <c r="A6" s="5" t="s">
        <v>47</v>
      </c>
      <c r="B6" s="8">
        <v>18</v>
      </c>
      <c r="C6" s="8">
        <v>33</v>
      </c>
      <c r="D6" s="8">
        <v>35</v>
      </c>
      <c r="E6" s="8">
        <v>35</v>
      </c>
      <c r="F6" s="8">
        <v>189</v>
      </c>
      <c r="G6" s="8">
        <v>147</v>
      </c>
      <c r="H6" s="8">
        <v>266</v>
      </c>
      <c r="I6" s="8">
        <v>271</v>
      </c>
      <c r="J6" s="8">
        <v>271</v>
      </c>
      <c r="K6" s="8">
        <v>345</v>
      </c>
      <c r="L6" s="8">
        <v>1167</v>
      </c>
      <c r="M6" s="8">
        <v>444</v>
      </c>
    </row>
    <row r="7" spans="1:13" x14ac:dyDescent="0.35">
      <c r="A7" s="5" t="s">
        <v>48</v>
      </c>
      <c r="B7" s="8">
        <v>3251</v>
      </c>
      <c r="C7" s="8">
        <v>3495</v>
      </c>
      <c r="D7" s="8">
        <v>3907</v>
      </c>
      <c r="E7" s="8">
        <v>4379</v>
      </c>
      <c r="F7" s="8">
        <v>5065</v>
      </c>
      <c r="G7" s="8">
        <v>5733</v>
      </c>
      <c r="H7" s="8">
        <v>6021</v>
      </c>
      <c r="I7" s="8">
        <v>6249</v>
      </c>
      <c r="J7" s="8">
        <v>6249</v>
      </c>
      <c r="K7" s="8">
        <v>6838</v>
      </c>
      <c r="L7" s="8">
        <v>7040</v>
      </c>
      <c r="M7" s="8">
        <v>7604</v>
      </c>
    </row>
    <row r="8" spans="1:13" x14ac:dyDescent="0.35">
      <c r="A8" s="5" t="s">
        <v>49</v>
      </c>
      <c r="B8" s="8">
        <v>6086</v>
      </c>
      <c r="C8" s="8">
        <v>6810</v>
      </c>
      <c r="D8" s="8">
        <v>7363</v>
      </c>
      <c r="E8" s="8">
        <v>8088</v>
      </c>
      <c r="F8" s="8">
        <v>7173</v>
      </c>
      <c r="G8" s="8">
        <v>7900</v>
      </c>
      <c r="H8" s="8">
        <v>8234</v>
      </c>
      <c r="I8" s="8">
        <v>8979</v>
      </c>
      <c r="J8" s="8">
        <v>8979</v>
      </c>
      <c r="K8" s="8">
        <v>10523</v>
      </c>
      <c r="L8" s="8">
        <v>12324</v>
      </c>
      <c r="M8" s="8">
        <v>13357</v>
      </c>
    </row>
    <row r="9" spans="1:13" x14ac:dyDescent="0.35">
      <c r="A9" s="5" t="s">
        <v>50</v>
      </c>
      <c r="B9" s="8">
        <v>2898</v>
      </c>
      <c r="C9" s="8">
        <v>2730</v>
      </c>
      <c r="D9" s="8">
        <v>2616</v>
      </c>
      <c r="E9" s="8">
        <v>2401</v>
      </c>
      <c r="F9" s="8">
        <v>2341</v>
      </c>
      <c r="G9" s="8">
        <v>2179</v>
      </c>
      <c r="H9" s="8">
        <v>2995</v>
      </c>
      <c r="I9" s="8">
        <v>3044</v>
      </c>
      <c r="J9" s="8">
        <v>3044</v>
      </c>
      <c r="K9" s="8">
        <v>3460</v>
      </c>
      <c r="L9" s="8">
        <v>5474</v>
      </c>
      <c r="M9" s="8">
        <v>6290</v>
      </c>
    </row>
    <row r="10" spans="1:13" x14ac:dyDescent="0.35">
      <c r="A10" s="5" t="s">
        <v>51</v>
      </c>
      <c r="B10" s="8">
        <v>231</v>
      </c>
      <c r="C10" s="8">
        <v>188</v>
      </c>
      <c r="D10" s="8">
        <v>94</v>
      </c>
      <c r="E10" s="8">
        <v>105</v>
      </c>
      <c r="F10" s="8">
        <v>143</v>
      </c>
      <c r="G10" s="8">
        <v>639</v>
      </c>
      <c r="H10" s="8">
        <v>246</v>
      </c>
      <c r="I10" s="8">
        <v>358</v>
      </c>
      <c r="J10" s="8">
        <v>358</v>
      </c>
      <c r="K10" s="8">
        <v>1742</v>
      </c>
      <c r="L10" s="8">
        <v>1173</v>
      </c>
      <c r="M10" s="8">
        <v>507</v>
      </c>
    </row>
    <row r="11" spans="1:13" x14ac:dyDescent="0.35">
      <c r="A11" s="5" t="s">
        <v>52</v>
      </c>
      <c r="B11" s="8">
        <v>1325</v>
      </c>
      <c r="C11" s="8">
        <v>1756</v>
      </c>
      <c r="D11" s="8">
        <v>1979</v>
      </c>
      <c r="E11" s="8">
        <v>2658</v>
      </c>
      <c r="F11" s="8">
        <v>1751</v>
      </c>
      <c r="G11" s="8">
        <v>1464</v>
      </c>
      <c r="H11" s="8">
        <v>774</v>
      </c>
      <c r="I11" s="8">
        <v>778</v>
      </c>
      <c r="J11" s="8">
        <v>778</v>
      </c>
      <c r="K11" s="8">
        <v>464</v>
      </c>
      <c r="L11" s="8">
        <v>706</v>
      </c>
      <c r="M11" s="8">
        <v>706</v>
      </c>
    </row>
    <row r="12" spans="1:13" x14ac:dyDescent="0.35">
      <c r="A12" s="5" t="s">
        <v>53</v>
      </c>
      <c r="B12" s="8">
        <v>1633</v>
      </c>
      <c r="C12" s="8">
        <v>2136</v>
      </c>
      <c r="D12" s="8">
        <v>2673</v>
      </c>
      <c r="E12" s="8">
        <v>2924</v>
      </c>
      <c r="F12" s="8">
        <v>2937</v>
      </c>
      <c r="G12" s="8">
        <v>3618</v>
      </c>
      <c r="H12" s="8">
        <v>4219</v>
      </c>
      <c r="I12" s="8">
        <v>4799</v>
      </c>
      <c r="J12" s="8">
        <v>4799</v>
      </c>
      <c r="K12" s="8">
        <v>4857</v>
      </c>
      <c r="L12" s="8">
        <v>4972</v>
      </c>
      <c r="M12" s="8">
        <v>5854</v>
      </c>
    </row>
    <row r="13" spans="1:13" x14ac:dyDescent="0.35">
      <c r="A13" s="5" t="s">
        <v>54</v>
      </c>
      <c r="B13" s="8">
        <v>6086</v>
      </c>
      <c r="C13" s="8">
        <v>6810</v>
      </c>
      <c r="D13" s="8">
        <v>7363</v>
      </c>
      <c r="E13" s="8">
        <v>8088</v>
      </c>
      <c r="F13" s="8">
        <v>7173</v>
      </c>
      <c r="G13" s="8">
        <v>7900</v>
      </c>
      <c r="H13" s="8">
        <v>8234</v>
      </c>
      <c r="I13" s="8">
        <v>8979</v>
      </c>
      <c r="J13" s="8">
        <v>8979</v>
      </c>
      <c r="K13" s="8">
        <v>10523</v>
      </c>
      <c r="L13" s="8">
        <v>12324</v>
      </c>
      <c r="M13" s="8">
        <v>13357</v>
      </c>
    </row>
    <row r="15" spans="1:13" x14ac:dyDescent="0.35">
      <c r="A15" s="4" t="s">
        <v>43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1"/>
    </sheetView>
  </sheetViews>
  <sheetFormatPr defaultColWidth="8.6328125" defaultRowHeight="14.5" x14ac:dyDescent="0.35"/>
  <cols>
    <col min="1" max="1" width="26" customWidth="1"/>
    <col min="2" max="13" width="13" customWidth="1"/>
  </cols>
  <sheetData>
    <row r="1" spans="1:13" ht="18" x14ac:dyDescent="0.4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 x14ac:dyDescent="0.35">
      <c r="A4" s="5" t="s">
        <v>56</v>
      </c>
      <c r="B4" s="8">
        <v>1098</v>
      </c>
      <c r="C4" s="8">
        <v>1466</v>
      </c>
      <c r="D4" s="8">
        <v>1818</v>
      </c>
      <c r="E4" s="8">
        <v>2052</v>
      </c>
      <c r="F4" s="8">
        <v>2295</v>
      </c>
      <c r="G4" s="8">
        <v>2454</v>
      </c>
      <c r="H4" s="8">
        <v>2236</v>
      </c>
      <c r="I4" s="8">
        <v>2737</v>
      </c>
      <c r="J4" s="8">
        <v>3392</v>
      </c>
      <c r="K4" s="8">
        <v>4175</v>
      </c>
      <c r="L4" s="8">
        <v>2935</v>
      </c>
      <c r="M4" s="8">
        <v>5048</v>
      </c>
    </row>
    <row r="5" spans="1:13" x14ac:dyDescent="0.35">
      <c r="A5" s="5" t="s">
        <v>57</v>
      </c>
      <c r="B5" s="8">
        <v>-70</v>
      </c>
      <c r="C5" s="8">
        <v>-126</v>
      </c>
      <c r="D5" s="8">
        <v>-131</v>
      </c>
      <c r="E5" s="8">
        <v>-52</v>
      </c>
      <c r="F5" s="8">
        <v>83</v>
      </c>
      <c r="G5" s="8">
        <v>-321</v>
      </c>
      <c r="H5" s="8">
        <v>-1920</v>
      </c>
      <c r="I5" s="8">
        <v>-392</v>
      </c>
      <c r="J5" s="8">
        <v>-927</v>
      </c>
      <c r="K5" s="8">
        <v>-1237</v>
      </c>
      <c r="L5" s="8">
        <v>-1811</v>
      </c>
      <c r="M5" s="8">
        <v>-624</v>
      </c>
    </row>
    <row r="6" spans="1:13" x14ac:dyDescent="0.35">
      <c r="A6" s="5" t="s">
        <v>58</v>
      </c>
      <c r="B6" s="8">
        <v>-498</v>
      </c>
      <c r="C6" s="8">
        <v>-666</v>
      </c>
      <c r="D6" s="8">
        <v>-997</v>
      </c>
      <c r="E6" s="8">
        <v>-1317</v>
      </c>
      <c r="F6" s="8">
        <v>-3602</v>
      </c>
      <c r="G6" s="8">
        <v>-1956</v>
      </c>
      <c r="H6" s="8">
        <v>-2020</v>
      </c>
      <c r="I6" s="8">
        <v>-2123</v>
      </c>
      <c r="J6" s="8">
        <v>-2436</v>
      </c>
      <c r="K6" s="8">
        <v>-3135</v>
      </c>
      <c r="L6" s="8">
        <v>-1846</v>
      </c>
      <c r="M6" s="8">
        <v>-3179</v>
      </c>
    </row>
    <row r="7" spans="1:13" x14ac:dyDescent="0.35">
      <c r="A7" s="5" t="s">
        <v>59</v>
      </c>
      <c r="B7" s="8">
        <v>529</v>
      </c>
      <c r="C7" s="8">
        <v>674</v>
      </c>
      <c r="D7" s="8">
        <v>691</v>
      </c>
      <c r="E7" s="8">
        <v>683</v>
      </c>
      <c r="F7" s="8">
        <v>-1223</v>
      </c>
      <c r="G7" s="8">
        <v>177</v>
      </c>
      <c r="H7" s="8">
        <v>-1704</v>
      </c>
      <c r="I7" s="8">
        <v>223</v>
      </c>
      <c r="J7" s="8">
        <v>29</v>
      </c>
      <c r="K7" s="8">
        <v>-198</v>
      </c>
      <c r="L7" s="8">
        <v>-723</v>
      </c>
      <c r="M7" s="8">
        <v>1244</v>
      </c>
    </row>
    <row r="8" spans="1:13" x14ac:dyDescent="0.35">
      <c r="A8" s="5" t="s">
        <v>60</v>
      </c>
      <c r="B8" s="8">
        <v>949</v>
      </c>
      <c r="C8" s="8">
        <v>1353</v>
      </c>
      <c r="D8" s="8">
        <v>1622</v>
      </c>
      <c r="E8" s="8">
        <v>1890</v>
      </c>
      <c r="F8" s="8">
        <v>2143</v>
      </c>
      <c r="G8" s="8">
        <v>1980</v>
      </c>
      <c r="H8" s="8">
        <v>1505</v>
      </c>
      <c r="I8" s="8">
        <v>2197</v>
      </c>
      <c r="J8" s="8">
        <v>2028</v>
      </c>
      <c r="K8" s="8">
        <v>2296</v>
      </c>
      <c r="L8" s="8">
        <v>930</v>
      </c>
      <c r="M8" s="8">
        <v>4221</v>
      </c>
    </row>
    <row r="9" spans="1:13" x14ac:dyDescent="0.35">
      <c r="A9" s="5" t="s">
        <v>61</v>
      </c>
      <c r="B9" s="9">
        <v>93</v>
      </c>
      <c r="C9" s="9">
        <v>106</v>
      </c>
      <c r="D9" s="9">
        <v>116</v>
      </c>
      <c r="E9" s="9">
        <v>112</v>
      </c>
      <c r="F9" s="9">
        <v>101</v>
      </c>
      <c r="G9" s="9">
        <v>99</v>
      </c>
      <c r="H9" s="9">
        <v>83</v>
      </c>
      <c r="I9" s="9">
        <v>97</v>
      </c>
      <c r="J9" s="9">
        <v>100</v>
      </c>
      <c r="K9" s="9">
        <v>94</v>
      </c>
      <c r="L9" s="9">
        <v>82</v>
      </c>
      <c r="M9" s="9">
        <v>115</v>
      </c>
    </row>
    <row r="11" spans="1:13" x14ac:dyDescent="0.35">
      <c r="A11" s="4" t="s">
        <v>43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6" sqref="F16"/>
    </sheetView>
  </sheetViews>
  <sheetFormatPr defaultColWidth="8.6328125" defaultRowHeight="14.5" x14ac:dyDescent="0.35"/>
  <cols>
    <col min="1" max="1" width="26" customWidth="1"/>
    <col min="2" max="13" width="13" customWidth="1"/>
  </cols>
  <sheetData>
    <row r="1" spans="1:13" ht="18" x14ac:dyDescent="0.4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 x14ac:dyDescent="0.35">
      <c r="A4" s="5" t="s">
        <v>63</v>
      </c>
      <c r="B4" s="8">
        <v>4</v>
      </c>
      <c r="C4" s="8">
        <v>4</v>
      </c>
      <c r="D4" s="8">
        <v>3</v>
      </c>
      <c r="E4" s="8">
        <v>4</v>
      </c>
      <c r="F4" s="8">
        <v>4</v>
      </c>
      <c r="G4" s="8">
        <v>5</v>
      </c>
      <c r="H4" s="8">
        <v>4</v>
      </c>
      <c r="I4" s="8">
        <v>4</v>
      </c>
      <c r="J4" s="8">
        <v>4</v>
      </c>
      <c r="K4" s="8">
        <v>4</v>
      </c>
      <c r="L4" s="8">
        <v>7</v>
      </c>
      <c r="M4" s="8">
        <v>5</v>
      </c>
    </row>
    <row r="5" spans="1:13" x14ac:dyDescent="0.35">
      <c r="A5" s="5" t="s">
        <v>64</v>
      </c>
      <c r="B5" s="8">
        <v>103</v>
      </c>
      <c r="C5" s="8">
        <v>107</v>
      </c>
      <c r="D5" s="8">
        <v>91</v>
      </c>
      <c r="E5" s="8">
        <v>92</v>
      </c>
      <c r="F5" s="8">
        <v>107</v>
      </c>
      <c r="G5" s="8">
        <v>107</v>
      </c>
      <c r="H5" s="8">
        <v>111</v>
      </c>
      <c r="I5" s="8">
        <v>110</v>
      </c>
      <c r="J5" s="8">
        <v>83</v>
      </c>
      <c r="K5" s="8">
        <v>83</v>
      </c>
      <c r="L5" s="8">
        <v>139</v>
      </c>
      <c r="M5" s="8">
        <v>105</v>
      </c>
    </row>
    <row r="6" spans="1:13" x14ac:dyDescent="0.35">
      <c r="A6" s="5" t="s">
        <v>65</v>
      </c>
      <c r="B6" s="8">
        <v>94</v>
      </c>
      <c r="C6" s="8">
        <v>91</v>
      </c>
      <c r="D6" s="8">
        <v>99</v>
      </c>
      <c r="E6" s="8">
        <v>118</v>
      </c>
      <c r="F6" s="8">
        <v>124</v>
      </c>
      <c r="G6" s="8">
        <v>115</v>
      </c>
      <c r="H6" s="8">
        <v>122</v>
      </c>
      <c r="I6" s="8">
        <v>121</v>
      </c>
      <c r="J6" s="8">
        <v>92</v>
      </c>
      <c r="K6" s="8">
        <v>112</v>
      </c>
      <c r="L6" s="8">
        <v>128</v>
      </c>
      <c r="M6" s="8">
        <v>129</v>
      </c>
    </row>
    <row r="7" spans="1:13" x14ac:dyDescent="0.35">
      <c r="A7" s="5" t="s">
        <v>66</v>
      </c>
      <c r="B7" s="8">
        <v>12</v>
      </c>
      <c r="C7" s="8">
        <v>20</v>
      </c>
      <c r="D7" s="8">
        <v>-5</v>
      </c>
      <c r="E7" s="8">
        <v>-22</v>
      </c>
      <c r="F7" s="8">
        <v>-14</v>
      </c>
      <c r="G7" s="8">
        <v>-3</v>
      </c>
      <c r="H7" s="8">
        <v>-7</v>
      </c>
      <c r="I7" s="8">
        <v>-7</v>
      </c>
      <c r="J7" s="8">
        <v>-5</v>
      </c>
      <c r="K7" s="8">
        <v>-24</v>
      </c>
      <c r="L7" s="8">
        <v>18</v>
      </c>
      <c r="M7" s="8">
        <v>-19</v>
      </c>
    </row>
    <row r="8" spans="1:13" x14ac:dyDescent="0.35">
      <c r="A8" s="5" t="s">
        <v>67</v>
      </c>
      <c r="B8" s="8">
        <v>-21</v>
      </c>
      <c r="C8" s="8">
        <v>-10</v>
      </c>
      <c r="D8" s="8">
        <v>-15</v>
      </c>
      <c r="E8" s="8">
        <v>-21</v>
      </c>
      <c r="F8" s="8">
        <v>-20</v>
      </c>
      <c r="G8" s="8">
        <v>-22</v>
      </c>
      <c r="H8" s="8">
        <v>-20</v>
      </c>
      <c r="I8" s="8">
        <v>-16</v>
      </c>
      <c r="J8" s="8">
        <v>-10</v>
      </c>
      <c r="K8" s="8">
        <v>-19</v>
      </c>
      <c r="L8" s="8">
        <v>-19</v>
      </c>
      <c r="M8" s="8">
        <v>-24</v>
      </c>
    </row>
    <row r="9" spans="1:13" x14ac:dyDescent="0.35">
      <c r="A9" s="5" t="s">
        <v>68</v>
      </c>
      <c r="B9" s="9">
        <v>46</v>
      </c>
      <c r="C9" s="9">
        <v>54</v>
      </c>
      <c r="D9" s="9">
        <v>57</v>
      </c>
      <c r="E9" s="9">
        <v>71</v>
      </c>
      <c r="F9" s="9">
        <v>96</v>
      </c>
      <c r="G9" s="9">
        <v>139</v>
      </c>
      <c r="H9" s="9">
        <v>150</v>
      </c>
      <c r="I9" s="9">
        <v>138</v>
      </c>
      <c r="J9" s="9">
        <v>153</v>
      </c>
      <c r="K9" s="9">
        <v>169</v>
      </c>
      <c r="L9" s="9">
        <v>96</v>
      </c>
      <c r="M9" s="9">
        <v>84</v>
      </c>
    </row>
    <row r="11" spans="1:13" x14ac:dyDescent="0.35">
      <c r="A11" s="4" t="s">
        <v>43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0" customWidth="1"/>
    <col min="2" max="13" width="13" customWidth="1"/>
  </cols>
  <sheetData>
    <row r="1" spans="1:13" ht="18" x14ac:dyDescent="0.4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6" t="s">
        <v>70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 x14ac:dyDescent="0.35">
      <c r="A4" s="5" t="s">
        <v>71</v>
      </c>
      <c r="B4" s="11">
        <f>'P&amp;L'!B13/'P&amp;L'!B4*100</f>
        <v>6.8868501529051978</v>
      </c>
      <c r="C4" s="11">
        <f>'P&amp;L'!C13/'P&amp;L'!C4*100</f>
        <v>10.950661853188929</v>
      </c>
      <c r="D4" s="11">
        <f>'P&amp;L'!D13/'P&amp;L'!D4*100</f>
        <v>12.237762237762238</v>
      </c>
      <c r="E4" s="11">
        <f>'P&amp;L'!E13/'P&amp;L'!E4*100</f>
        <v>14.231314204746722</v>
      </c>
      <c r="F4" s="11">
        <f>'P&amp;L'!F13/'P&amp;L'!F4*100</f>
        <v>15.910744603444094</v>
      </c>
      <c r="G4" s="11">
        <f>'P&amp;L'!G13/'P&amp;L'!G4*100</f>
        <v>15.595505617977528</v>
      </c>
      <c r="H4" s="11">
        <f>'P&amp;L'!H13/'P&amp;L'!H4*100</f>
        <v>14.368089003459739</v>
      </c>
      <c r="I4" s="11">
        <f>'P&amp;L'!I13/'P&amp;L'!I4*100</f>
        <v>14.150440906669823</v>
      </c>
      <c r="J4" s="11">
        <f>'P&amp;L'!J13/'P&amp;L'!J4*100</f>
        <v>15.680225870542715</v>
      </c>
      <c r="K4" s="11">
        <f>'P&amp;L'!K13/'P&amp;L'!K4*100</f>
        <v>16.12281708616873</v>
      </c>
      <c r="L4" s="11">
        <f>'P&amp;L'!L13/'P&amp;L'!L4*100</f>
        <v>16.404316404316404</v>
      </c>
      <c r="M4" s="11">
        <f>'P&amp;L'!M13/'P&amp;L'!M4*100</f>
        <v>15.30986827898942</v>
      </c>
    </row>
    <row r="5" spans="1:13" x14ac:dyDescent="0.35">
      <c r="A5" s="5" t="s">
        <v>72</v>
      </c>
      <c r="B5" s="11">
        <f>'P&amp;L'!B6/'P&amp;L'!B4*100</f>
        <v>19.021406727828747</v>
      </c>
      <c r="C5" s="11">
        <f>'P&amp;L'!C6/'P&amp;L'!C4*100</f>
        <v>20.238485942457064</v>
      </c>
      <c r="D5" s="11">
        <f>'P&amp;L'!D6/'P&amp;L'!D4*100</f>
        <v>20.94905094905095</v>
      </c>
      <c r="E5" s="11">
        <f>'P&amp;L'!E6/'P&amp;L'!E4*100</f>
        <v>23.184555437477862</v>
      </c>
      <c r="F5" s="11">
        <f>'P&amp;L'!F6/'P&amp;L'!F4*100</f>
        <v>23.655913978494624</v>
      </c>
      <c r="G5" s="11">
        <f>'P&amp;L'!G6/'P&amp;L'!G4*100</f>
        <v>23.985018726591761</v>
      </c>
      <c r="H5" s="11">
        <f>'P&amp;L'!H6/'P&amp;L'!H4*100</f>
        <v>24.163896614883658</v>
      </c>
      <c r="I5" s="11">
        <f>'P&amp;L'!I6/'P&amp;L'!I4*100</f>
        <v>21.932887494821564</v>
      </c>
      <c r="J5" s="11">
        <f>'P&amp;L'!J6/'P&amp;L'!J4*100</f>
        <v>23.376555474223572</v>
      </c>
      <c r="K5" s="11">
        <f>'P&amp;L'!K6/'P&amp;L'!K4*100</f>
        <v>23.95261129786013</v>
      </c>
      <c r="L5" s="11">
        <f>'P&amp;L'!L6/'P&amp;L'!L4*100</f>
        <v>23.616473616473616</v>
      </c>
      <c r="M5" s="11">
        <f>'P&amp;L'!M6/'P&amp;L'!M4*100</f>
        <v>22.919455841071041</v>
      </c>
    </row>
    <row r="6" spans="1:13" x14ac:dyDescent="0.35">
      <c r="A6" s="5" t="s">
        <v>73</v>
      </c>
      <c r="B6" s="11">
        <f>'P&amp;L'!B13/('Balance Sheet'!B4+'Balance Sheet'!B5)*100</f>
        <v>19.985800496982606</v>
      </c>
      <c r="C6" s="11">
        <f>'P&amp;L'!C13/('Balance Sheet'!C4+'Balance Sheet'!C5)*100</f>
        <v>30.499695307739184</v>
      </c>
      <c r="D6" s="11">
        <f>'P&amp;L'!D13/('Balance Sheet'!D4+'Balance Sheet'!D5)*100</f>
        <v>35.8187134502924</v>
      </c>
      <c r="E6" s="11">
        <f>'P&amp;L'!E13/('Balance Sheet'!E4+'Balance Sheet'!E5)*100</f>
        <v>43.75170160631636</v>
      </c>
      <c r="F6" s="11">
        <f>'P&amp;L'!F13/('Balance Sheet'!F4+'Balance Sheet'!F5)*100</f>
        <v>102.60688216892598</v>
      </c>
      <c r="G6" s="11">
        <f>'P&amp;L'!G13/('Balance Sheet'!G4+'Balance Sheet'!G5)*100</f>
        <v>103.12035661218424</v>
      </c>
      <c r="H6" s="11">
        <f>'P&amp;L'!H13/('Balance Sheet'!H4+'Balance Sheet'!H5)*100</f>
        <v>108.83864337101747</v>
      </c>
      <c r="I6" s="11">
        <f>'P&amp;L'!I13/('Balance Sheet'!I4+'Balance Sheet'!I5)*100</f>
        <v>97.234648230988213</v>
      </c>
      <c r="J6" s="11">
        <f>'P&amp;L'!J13/('Balance Sheet'!J4+'Balance Sheet'!J5)*100</f>
        <v>121.96014640097602</v>
      </c>
      <c r="K6" s="11">
        <f>'P&amp;L'!K13/('Balance Sheet'!K4+'Balance Sheet'!K5)*100</f>
        <v>117.75449101796407</v>
      </c>
      <c r="L6" s="11">
        <f>'P&amp;L'!L13/('Balance Sheet'!L4+'Balance Sheet'!L5)*100</f>
        <v>80.495506436725776</v>
      </c>
      <c r="M6" s="11">
        <f>'P&amp;L'!M13/('Balance Sheet'!M4+'Balance Sheet'!M5)*100</f>
        <v>66.773403654172157</v>
      </c>
    </row>
    <row r="7" spans="1:13" x14ac:dyDescent="0.35">
      <c r="A7" s="5" t="s">
        <v>74</v>
      </c>
      <c r="B7" s="11">
        <f>'Ratios Given'!B9</f>
        <v>46</v>
      </c>
      <c r="C7" s="11">
        <f>'Ratios Given'!C9</f>
        <v>54</v>
      </c>
      <c r="D7" s="11">
        <f>'Ratios Given'!D9</f>
        <v>57</v>
      </c>
      <c r="E7" s="11">
        <f>'Ratios Given'!E9</f>
        <v>71</v>
      </c>
      <c r="F7" s="11">
        <f>'Ratios Given'!F9</f>
        <v>96</v>
      </c>
      <c r="G7" s="11">
        <f>'Ratios Given'!G9</f>
        <v>139</v>
      </c>
      <c r="H7" s="11">
        <f>'Ratios Given'!H9</f>
        <v>150</v>
      </c>
      <c r="I7" s="11">
        <f>'Ratios Given'!I9</f>
        <v>138</v>
      </c>
      <c r="J7" s="11">
        <f>'Ratios Given'!J9</f>
        <v>153</v>
      </c>
      <c r="K7" s="11">
        <f>'Ratios Given'!K9</f>
        <v>169</v>
      </c>
      <c r="L7" s="11">
        <f>'Ratios Given'!L9</f>
        <v>96</v>
      </c>
      <c r="M7" s="11">
        <f>'Ratios Given'!M9</f>
        <v>84</v>
      </c>
    </row>
    <row r="8" spans="1:13" x14ac:dyDescent="0.35">
      <c r="A8" s="5" t="s">
        <v>75</v>
      </c>
      <c r="B8" s="12">
        <f>'Balance Sheet'!B6/('Balance Sheet'!B4+'Balance Sheet'!B5)</f>
        <v>6.3897763578274758E-3</v>
      </c>
      <c r="C8" s="12">
        <f>'Balance Sheet'!C6/('Balance Sheet'!C4+'Balance Sheet'!C5)</f>
        <v>1.0054844606946984E-2</v>
      </c>
      <c r="D8" s="12">
        <f>'Balance Sheet'!D6/('Balance Sheet'!D4+'Balance Sheet'!D5)</f>
        <v>1.023391812865497E-2</v>
      </c>
      <c r="E8" s="12">
        <f>'Balance Sheet'!E6/('Balance Sheet'!E4+'Balance Sheet'!E5)</f>
        <v>9.52899537163082E-3</v>
      </c>
      <c r="F8" s="12">
        <f>'Balance Sheet'!F6/('Balance Sheet'!F4+'Balance Sheet'!F5)</f>
        <v>9.8540145985401464E-2</v>
      </c>
      <c r="G8" s="12">
        <f>'Balance Sheet'!G6/('Balance Sheet'!G4+'Balance Sheet'!G5)</f>
        <v>7.280832095096583E-2</v>
      </c>
      <c r="H8" s="12">
        <f>'Balance Sheet'!H6/('Balance Sheet'!H4+'Balance Sheet'!H5)</f>
        <v>0.1366906474820144</v>
      </c>
      <c r="I8" s="12">
        <f>'Balance Sheet'!I6/('Balance Sheet'!I4+'Balance Sheet'!I5)</f>
        <v>0.11020740138267589</v>
      </c>
      <c r="J8" s="12">
        <f>'Balance Sheet'!J6/('Balance Sheet'!J4+'Balance Sheet'!J5)</f>
        <v>0.11020740138267589</v>
      </c>
      <c r="K8" s="12">
        <f>'Balance Sheet'!K6/('Balance Sheet'!K4+'Balance Sheet'!K5)</f>
        <v>0.10329341317365269</v>
      </c>
      <c r="L8" s="12">
        <f>'Balance Sheet'!L6/('Balance Sheet'!L4+'Balance Sheet'!L5)</f>
        <v>0.28345882924459559</v>
      </c>
      <c r="M8" s="12">
        <f>'Balance Sheet'!M6/('Balance Sheet'!M4+'Balance Sheet'!M5)</f>
        <v>8.3631569033716324E-2</v>
      </c>
    </row>
    <row r="9" spans="1:13" x14ac:dyDescent="0.35">
      <c r="A9" s="5" t="s">
        <v>76</v>
      </c>
      <c r="B9" s="13">
        <f>('P&amp;L'!B11+'P&amp;L'!B9)/'P&amp;L'!B9</f>
        <v>272.33333333333331</v>
      </c>
      <c r="C9" s="13">
        <f>('P&amp;L'!C11+'P&amp;L'!C9)/'P&amp;L'!C9</f>
        <v>17.978021978021978</v>
      </c>
      <c r="D9" s="13">
        <f>('P&amp;L'!D11+'P&amp;L'!D9)/'P&amp;L'!D9</f>
        <v>20.989130434782609</v>
      </c>
      <c r="E9" s="13">
        <f>('P&amp;L'!E11+'P&amp;L'!E9)/'P&amp;L'!E9</f>
        <v>22.6875</v>
      </c>
      <c r="F9" s="13">
        <f>('P&amp;L'!F11+'P&amp;L'!F9)/'P&amp;L'!F9</f>
        <v>21.720930232558139</v>
      </c>
      <c r="G9" s="13">
        <f>('P&amp;L'!G11+'P&amp;L'!G9)/'P&amp;L'!G9</f>
        <v>18.152439024390244</v>
      </c>
      <c r="H9" s="13">
        <f>('P&amp;L'!H11+'P&amp;L'!H9)/'P&amp;L'!H9</f>
        <v>15.143564356435643</v>
      </c>
      <c r="I9" s="13">
        <f>('P&amp;L'!I11+'P&amp;L'!I9)/'P&amp;L'!I9</f>
        <v>22.006451612903227</v>
      </c>
      <c r="J9" s="13">
        <f>('P&amp;L'!J11+'P&amp;L'!J9)/'P&amp;L'!J9</f>
        <v>34.932773109243698</v>
      </c>
      <c r="K9" s="13">
        <f>('P&amp;L'!K11+'P&amp;L'!K9)/'P&amp;L'!K9</f>
        <v>37.475862068965519</v>
      </c>
      <c r="L9" s="13">
        <f>('P&amp;L'!L11+'P&amp;L'!L9)/'P&amp;L'!L9</f>
        <v>33.698529411764703</v>
      </c>
      <c r="M9" s="13">
        <f>('P&amp;L'!M11+'P&amp;L'!M9)/'P&amp;L'!M9</f>
        <v>30.177215189873419</v>
      </c>
    </row>
    <row r="10" spans="1:13" x14ac:dyDescent="0.35">
      <c r="A10" s="5" t="s">
        <v>77</v>
      </c>
      <c r="B10" s="12">
        <f>'P&amp;L'!B4/'Balance Sheet'!B13</f>
        <v>1.343246795925074</v>
      </c>
      <c r="C10" s="12">
        <f>'P&amp;L'!C4/'Balance Sheet'!C13</f>
        <v>1.3422907488986784</v>
      </c>
      <c r="D10" s="12">
        <f>'P&amp;L'!D4/'Balance Sheet'!D13</f>
        <v>1.3595002037213093</v>
      </c>
      <c r="E10" s="12">
        <f>'P&amp;L'!E4/'Balance Sheet'!E13</f>
        <v>1.3961424332344214</v>
      </c>
      <c r="F10" s="12">
        <f>'P&amp;L'!F4/'Balance Sheet'!F13</f>
        <v>1.7243831033040569</v>
      </c>
      <c r="G10" s="12">
        <f>'P&amp;L'!G4/'Balance Sheet'!G13</f>
        <v>1.6898734177215189</v>
      </c>
      <c r="H10" s="12">
        <f>'P&amp;L'!H4/'Balance Sheet'!H13</f>
        <v>1.790259897983969</v>
      </c>
      <c r="I10" s="12">
        <f>'P&amp;L'!I4/'Balance Sheet'!I13</f>
        <v>1.8818353936964027</v>
      </c>
      <c r="J10" s="12">
        <f>'P&amp;L'!J4/'Balance Sheet'!J13</f>
        <v>2.1300813008130079</v>
      </c>
      <c r="K10" s="12">
        <f>'P&amp;L'!K4/'Balance Sheet'!K13</f>
        <v>2.3181602204694478</v>
      </c>
      <c r="L10" s="12">
        <f>'P&amp;L'!L4/'Balance Sheet'!L13</f>
        <v>1.639240506329114</v>
      </c>
      <c r="M10" s="12">
        <f>'P&amp;L'!M4/'Balance Sheet'!M13</f>
        <v>1.7335479523845174</v>
      </c>
    </row>
    <row r="11" spans="1:13" x14ac:dyDescent="0.35">
      <c r="A11" s="5" t="s">
        <v>78</v>
      </c>
      <c r="B11" s="14" t="s">
        <v>79</v>
      </c>
      <c r="C11" s="11">
        <f>('P&amp;L'!C14-'P&amp;L'!B14)/'P&amp;L'!B14*100</f>
        <v>77.739726027397282</v>
      </c>
      <c r="D11" s="11">
        <f>('P&amp;L'!D14-'P&amp;L'!C14)/'P&amp;L'!C14*100</f>
        <v>22.350674373795744</v>
      </c>
      <c r="E11" s="11">
        <f>('P&amp;L'!E14-'P&amp;L'!D14)/'P&amp;L'!D14*100</f>
        <v>31.181102362204733</v>
      </c>
      <c r="F11" s="11">
        <f>('P&amp;L'!F14-'P&amp;L'!E14)/'P&amp;L'!E14*100</f>
        <v>22.569027611044426</v>
      </c>
      <c r="G11" s="11">
        <f>('P&amp;L'!G14-'P&amp;L'!F14)/'P&amp;L'!F14*100</f>
        <v>5.7786483839373144</v>
      </c>
      <c r="H11" s="11">
        <f>('P&amp;L'!H14-'P&amp;L'!G14)/'P&amp;L'!G14*100</f>
        <v>1.7592592592592544</v>
      </c>
      <c r="I11" s="11">
        <f>('P&amp;L'!I14-'P&amp;L'!H14)/'P&amp;L'!H14*100</f>
        <v>12.829845313921748</v>
      </c>
      <c r="J11" s="11">
        <f>('P&amp;L'!J14-'P&amp;L'!I14)/'P&amp;L'!I14*100</f>
        <v>25.403225806451612</v>
      </c>
      <c r="K11" s="11">
        <f>('P&amp;L'!K14-'P&amp;L'!J14)/'P&amp;L'!J14*100</f>
        <v>31.189710610932458</v>
      </c>
      <c r="L11" s="11">
        <f>('P&amp;L'!L14-'P&amp;L'!K14)/'P&amp;L'!K14*100</f>
        <v>-15.735294117647047</v>
      </c>
      <c r="M11" s="11">
        <f>('P&amp;L'!M14-'P&amp;L'!L14)/'P&amp;L'!L14*100</f>
        <v>6.9226294357184273</v>
      </c>
    </row>
    <row r="12" spans="1:13" x14ac:dyDescent="0.35">
      <c r="A12" s="5" t="s">
        <v>80</v>
      </c>
      <c r="B12" s="11">
        <f>'Cash Flow'!B8/'P&amp;L'!B4*100</f>
        <v>11.608562691131498</v>
      </c>
      <c r="C12" s="11">
        <f>'Cash Flow'!C8/'P&amp;L'!C4*100</f>
        <v>14.801444043321299</v>
      </c>
      <c r="D12" s="11">
        <f>'Cash Flow'!D8/'P&amp;L'!D4*100</f>
        <v>16.203796203796202</v>
      </c>
      <c r="E12" s="11">
        <f>'Cash Flow'!E8/'P&amp;L'!E4*100</f>
        <v>16.7375132837407</v>
      </c>
      <c r="F12" s="11">
        <f>'Cash Flow'!F8/'P&amp;L'!F4*100</f>
        <v>17.325571994502383</v>
      </c>
      <c r="G12" s="11">
        <f>'Cash Flow'!G8/'P&amp;L'!G4*100</f>
        <v>14.831460674157304</v>
      </c>
      <c r="H12" s="11">
        <f>'Cash Flow'!H8/'P&amp;L'!H4*100</f>
        <v>10.209619428804016</v>
      </c>
      <c r="I12" s="11">
        <f>'Cash Flow'!I8/'P&amp;L'!I4*100</f>
        <v>13.002308102029946</v>
      </c>
      <c r="J12" s="11">
        <f>'Cash Flow'!J8/'P&amp;L'!J4*100</f>
        <v>10.603367144201609</v>
      </c>
      <c r="K12" s="11">
        <f>'Cash Flow'!K8/'P&amp;L'!K4*100</f>
        <v>9.4121505288185627</v>
      </c>
      <c r="L12" s="11">
        <f>'Cash Flow'!L8/'P&amp;L'!L4*100</f>
        <v>4.6035046035046028</v>
      </c>
      <c r="M12" s="11">
        <f>'Cash Flow'!M8/'P&amp;L'!M4*100</f>
        <v>18.229324120060461</v>
      </c>
    </row>
    <row r="13" spans="1:13" x14ac:dyDescent="0.35">
      <c r="A13" s="5" t="s">
        <v>81</v>
      </c>
      <c r="B13" s="15">
        <f>'Ratios Given'!B7</f>
        <v>12</v>
      </c>
      <c r="C13" s="15">
        <f>'Ratios Given'!C7</f>
        <v>20</v>
      </c>
      <c r="D13" s="15">
        <f>'Ratios Given'!D7</f>
        <v>-5</v>
      </c>
      <c r="E13" s="15">
        <f>'Ratios Given'!E7</f>
        <v>-22</v>
      </c>
      <c r="F13" s="15">
        <f>'Ratios Given'!F7</f>
        <v>-14</v>
      </c>
      <c r="G13" s="15">
        <f>'Ratios Given'!G7</f>
        <v>-3</v>
      </c>
      <c r="H13" s="15">
        <f>'Ratios Given'!H7</f>
        <v>-7</v>
      </c>
      <c r="I13" s="15">
        <f>'Ratios Given'!I7</f>
        <v>-7</v>
      </c>
      <c r="J13" s="15">
        <f>'Ratios Given'!J7</f>
        <v>-5</v>
      </c>
      <c r="K13" s="15">
        <f>'Ratios Given'!K7</f>
        <v>-24</v>
      </c>
      <c r="L13" s="15">
        <f>'Ratios Given'!L7</f>
        <v>18</v>
      </c>
      <c r="M13" s="15">
        <f>'Ratios Given'!M7</f>
        <v>-19</v>
      </c>
    </row>
    <row r="15" spans="1:13" x14ac:dyDescent="0.35">
      <c r="A15" s="4" t="s">
        <v>82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5"/>
  <sheetViews>
    <sheetView showGridLines="0" zoomScale="40" zoomScaleNormal="40" workbookViewId="0">
      <selection activeCell="AI25" sqref="AI25"/>
    </sheetView>
  </sheetViews>
  <sheetFormatPr defaultColWidth="8.6328125" defaultRowHeight="14.5" x14ac:dyDescent="0.35"/>
  <cols>
    <col min="1" max="17" width="3" customWidth="1"/>
  </cols>
  <sheetData>
    <row r="2" spans="2:2" ht="18" x14ac:dyDescent="0.4">
      <c r="B2" s="2" t="s">
        <v>83</v>
      </c>
    </row>
    <row r="3" spans="2:2" x14ac:dyDescent="0.35">
      <c r="B3" s="4" t="s">
        <v>84</v>
      </c>
    </row>
    <row r="40" spans="2:2" x14ac:dyDescent="0.35">
      <c r="B40" s="16" t="s">
        <v>85</v>
      </c>
    </row>
    <row r="41" spans="2:2" x14ac:dyDescent="0.35">
      <c r="B41" s="17" t="s">
        <v>86</v>
      </c>
    </row>
    <row r="42" spans="2:2" x14ac:dyDescent="0.35">
      <c r="B42" s="17" t="s">
        <v>87</v>
      </c>
    </row>
    <row r="43" spans="2:2" x14ac:dyDescent="0.35">
      <c r="B43" s="17" t="s">
        <v>88</v>
      </c>
    </row>
    <row r="44" spans="2:2" x14ac:dyDescent="0.35">
      <c r="B44" s="17" t="s">
        <v>89</v>
      </c>
    </row>
    <row r="45" spans="2:2" x14ac:dyDescent="0.35">
      <c r="B45" s="17" t="s">
        <v>90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P&amp;L</vt:lpstr>
      <vt:lpstr>Balance Sheet</vt:lpstr>
      <vt:lpstr>Cash Flow</vt:lpstr>
      <vt:lpstr>Ratios Given</vt:lpstr>
      <vt:lpstr>Ratios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HITESHI BANSAL</cp:lastModifiedBy>
  <cp:revision>1</cp:revision>
  <dcterms:created xsi:type="dcterms:W3CDTF">2026-07-10T07:29:06Z</dcterms:created>
  <dcterms:modified xsi:type="dcterms:W3CDTF">2026-07-10T07:32:10Z</dcterms:modified>
  <dc:language>en-US</dc:language>
</cp:coreProperties>
</file>